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imelineCaches/timelineCache1.xml" ContentType="application/vnd.ms-excel.timelineCache+xml"/>
  <Override PartName="/xl/timelines/timeline1.xml" ContentType="application/vnd.ms-excel.timeline+xml"/>
  <Override PartName="/xl/timelines/timeline2.xml" ContentType="application/vnd.ms-excel.timeline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DeTrabalho" hidePivotFieldList="1"/>
  <bookViews>
    <workbookView xWindow="-120" yWindow="-120" windowWidth="20730" windowHeight="11760" tabRatio="692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7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45621"/>
  <pivotCaches>
    <pivotCache cacheId="0" r:id="rId7"/>
    <pivotCache cacheId="10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/>
  <c r="AA4" i="15"/>
  <c r="AA16" i="15"/>
  <c r="A2" i="16" l="1"/>
  <c r="BB16" i="15"/>
  <c r="BB10" i="15"/>
  <c r="AS4" i="15"/>
  <c r="AS10" i="15"/>
  <c r="BB4" i="15"/>
  <c r="AS16" i="15" l="1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<sst xmlns="http://schemas.openxmlformats.org/spreadsheetml/2006/main" count="386" uniqueCount="60">
  <si>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</si>
  <si>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</si>
  <si>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</si>
  <si>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</si>
  <si>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</si>
  <si>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</si>
  <si>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</si>
  <si>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</si>
  <si>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</si>
  <si>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</si>
  <si>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</si>
  <si>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</si>
  <si>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</si>
  <si>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</si>
  <si>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</si>
  <si>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</si>
  <si>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</si>
  <si>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</si>
  <si>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</si>
  <si>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</si>
  <si>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</si>
  <si>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</si>
  <si>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</si>
  <si>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</si>
  <si>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</si>
  <si>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</si>
  <si>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</si>
  <si>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</si>
  <si>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</si>
  <si>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</si>
  <si>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</si>
  <si>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</si>
  <si>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</si>
  <si>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</si>
  <si>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</si>
  <si>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</si>
  <si>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</si>
  <si>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</si>
  <si>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</si>
  <si>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</si>
  <si>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</si>
  <si>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</si>
  <si>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</si>
  <si>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</si>
  <si>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</si>
  <si>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</si>
  <si>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</si>
  <si>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</si>
  <si>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</si>
  <si>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</si>
  <si>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</si>
  <si>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</si>
  <si>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</si>
  <si>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</si>
  <si>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</si>
  <si>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</si>
  <si>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</si>
  <si>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</si>
  <si>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&gt;1000</t>
  </si>
  <si>
    <t>&gt;20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</si>
</sst>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97600000"/>
        <c:axId val="70888832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600512"/>
        <c:axId val="70887680"/>
      </c:lineChart>
      <c:catAx>
        <c:axId val="976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888832"/>
        <c:crosses val="autoZero"/>
        <c:auto val="1"/>
        <c:lblAlgn val="ctr"/>
        <c:lblOffset val="100"/>
        <c:noMultiLvlLbl val="0"/>
      </c:catAx>
      <c:valAx>
        <c:axId val="708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600000"/>
        <c:crosses val="autoZero"/>
        <c:crossBetween val="between"/>
      </c:valAx>
      <c:valAx>
        <c:axId val="708876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600512"/>
        <c:crosses val="max"/>
        <c:crossBetween val="between"/>
      </c:valAx>
      <c:catAx>
        <c:axId val="9760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887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118423552"/>
        <c:axId val="97993280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602048"/>
        <c:axId val="97993856"/>
      </c:lineChart>
      <c:catAx>
        <c:axId val="11842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93280"/>
        <c:crosses val="autoZero"/>
        <c:auto val="1"/>
        <c:lblAlgn val="ctr"/>
        <c:lblOffset val="100"/>
        <c:noMultiLvlLbl val="0"/>
      </c:catAx>
      <c:valAx>
        <c:axId val="9799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423552"/>
        <c:crosses val="autoZero"/>
        <c:crossBetween val="between"/>
      </c:valAx>
      <c:valAx>
        <c:axId val="979938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602048"/>
        <c:crosses val="max"/>
        <c:crossBetween val="between"/>
      </c:valAx>
      <c:catAx>
        <c:axId val="97602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993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  <c:perspective val="3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Caminhão Frigorífico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2">
                  <c:v>7422.4052478134117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(vazio)</c:v>
                </c:pt>
                <c:pt idx="2">
                  <c:v>Caminhão Frigorífico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2">
                  <c:v>7422.4052478134117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9418880"/>
        <c:axId val="97996736"/>
      </c:barChart>
      <c:catAx>
        <c:axId val="119418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96736"/>
        <c:crosses val="autoZero"/>
        <c:auto val="1"/>
        <c:lblAlgn val="ctr"/>
        <c:lblOffset val="100"/>
        <c:noMultiLvlLbl val="0"/>
      </c:catAx>
      <c:valAx>
        <c:axId val="9799673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1941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3" name="Gráfico 13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4" name="Gráfico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0</xdr:row>
          <xdr:rowOff>180975</xdr:rowOff>
        </xdr:from>
        <xdr:to>
          <xdr:col>34</xdr:col>
          <xdr:colOff>21167</xdr:colOff>
          <xdr:row>0</xdr:row>
          <xdr:rowOff>582083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>
      <mc:Choice xmlns:tsle="http://schemas.microsoft.com/office/drawing/2012/timeslicer" xmlns=""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>
        <xdr:sp macro="" textlink="">
          <xdr:nvSpPr>
            <xdr:cNvPr id="2" name="Retângulo 1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ffice Resolve Testes" refreshedDate="43925.787586226848" createdVersion="6" refreshedVersion="6" minRefreshableVersion="3" recordCount="30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ianca" refreshedDate="44125.474966319445" createdVersion="6" refreshedVersion="4" minRefreshableVersion="3" recordCount="31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4-02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326.6763848396502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190" maxValue="450"/>
    </cacheField>
    <cacheField name="Tipo de Veículo" numFmtId="0">
      <sharedItems containsBlank="1" count="4">
        <s v="Caminhão Frigorífico"/>
        <s v="Caminhão Baú"/>
        <m/>
        <s v="Utilitário Pequen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12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15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s v="Figrorífico Muito Frio"/>
    <d v="2019-04-02T00:00:00"/>
    <s v="Encerrado"/>
    <n v="2395"/>
    <s v="Carne Congelada"/>
    <n v="343"/>
    <x v="0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0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0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0"/>
    <s v="MT"/>
    <d v="2019-07-20T00:00:00"/>
    <s v="Finalizada - Em Dia"/>
    <s v="SP"/>
    <d v="2019-07-23T00:00:00"/>
    <s v="Finalizada - Em Dia"/>
  </r>
  <r>
    <s v="Eletrônicos Magazine Suíça"/>
    <d v="2019-09-06T00:00:00"/>
    <s v="Encerrado"/>
    <n v="1800"/>
    <s v="Linha Branca"/>
    <n v="430"/>
    <x v="1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1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1"/>
    <s v="SP"/>
    <d v="2019-12-22T00:00:00"/>
    <s v="Em Aberto - Atrasada"/>
    <s v="SP"/>
    <d v="2019-12-22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Tabela dinâmica8" cacheId="100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 chartFormat="4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1"/>
        <item m="1"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liente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B20"/>
  <sheetViews>
    <sheetView tabSelected="1" zoomScale="90" zoomScaleNormal="90" workbookViewId="0">
      <selection activeCell="AA33" sqref="AA33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63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29" t="s">
        <v>46</v>
      </c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1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2333</v>
      </c>
      <c r="AB4" s="35"/>
      <c r="AC4" s="36"/>
      <c r="AD4" s="36"/>
      <c r="AE4" s="36"/>
      <c r="AF4" s="36"/>
      <c r="AG4" s="36"/>
      <c r="AH4" s="36"/>
      <c r="AI4" s="37"/>
      <c r="AJ4" s="43">
        <f>SUM('Base Filtrada'!D6:D35)</f>
        <v>12738.684317580852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7</v>
      </c>
      <c r="AB10" s="35"/>
      <c r="AC10" s="36"/>
      <c r="AD10" s="36"/>
      <c r="AE10" s="36"/>
      <c r="AF10" s="36"/>
      <c r="AG10" s="36"/>
      <c r="AH10" s="36"/>
      <c r="AI10" s="37"/>
      <c r="AJ10" s="41">
        <f>COUNTIF('Base Filtrada'!J6:J35, "Em Aberto - Atrasada")</f>
        <v>1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fnCaculaMediaPeso(AA4,AA10)</f>
        <v>333.28571428571428</v>
      </c>
      <c r="AB16" s="35"/>
      <c r="AC16" s="36"/>
      <c r="AD16" s="36"/>
      <c r="AE16" s="36"/>
      <c r="AF16" s="36"/>
      <c r="AG16" s="36"/>
      <c r="AH16" s="36"/>
      <c r="AI16" s="37"/>
      <c r="AJ16" s="41">
        <f>COUNTIF('Base Filtrada'!M6:M35, "Em aberto*")</f>
        <v>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381000</xdr:colOff>
                    <xdr:row>0</xdr:row>
                    <xdr:rowOff>180975</xdr:rowOff>
                  </from>
                  <to>
                    <xdr:col>34</xdr:col>
                    <xdr:colOff>19050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0:J22"/>
  <sheetViews>
    <sheetView showGridLines="0" workbookViewId="0">
      <selection activeCell="B31" sqref="B31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37"/>
  <sheetViews>
    <sheetView zoomScaleNormal="100" workbookViewId="0">
      <selection activeCell="E34" sqref="E34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3:B7"/>
  <sheetViews>
    <sheetView workbookViewId="0">
      <selection activeCell="B5" sqref="B5"/>
    </sheetView>
  </sheetViews>
  <sheetFormatPr defaultRowHeight="15" x14ac:dyDescent="0.25"/>
  <cols>
    <col min="1" max="1" width="19.42578125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57</v>
      </c>
      <c r="B5" s="25"/>
    </row>
    <row r="6" spans="1:2" x14ac:dyDescent="0.25">
      <c r="A6" s="24" t="s">
        <v>31</v>
      </c>
      <c r="B6" s="25">
        <v>7422.4052478134117</v>
      </c>
    </row>
    <row r="7" spans="1:2" x14ac:dyDescent="0.25">
      <c r="A7" s="24" t="s">
        <v>42</v>
      </c>
      <c r="B7" s="25">
        <v>12738.684317580854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 t="s">
        <v>58</v>
      </c>
      <c r="E2" s="20"/>
      <c r="F2" s="20" t="s">
        <v>59</v>
      </c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14</v>
      </c>
      <c r="B6" s="5">
        <v>43557</v>
      </c>
      <c r="C6" t="s">
        <v>18</v>
      </c>
      <c r="D6" s="3">
        <v>2395</v>
      </c>
      <c r="E6" t="s">
        <v>29</v>
      </c>
      <c r="F6" s="4">
        <v>343</v>
      </c>
      <c r="G6" t="s">
        <v>31</v>
      </c>
      <c r="H6" s="4" t="s">
        <v>30</v>
      </c>
      <c r="I6" s="5">
        <v>43567</v>
      </c>
      <c r="J6" s="4" t="s">
        <v>24</v>
      </c>
      <c r="K6" s="4" t="s">
        <v>27</v>
      </c>
      <c r="L6" s="5">
        <v>43570</v>
      </c>
      <c r="M6" s="4" t="s">
        <v>24</v>
      </c>
    </row>
    <row r="7" spans="1:13" x14ac:dyDescent="0.25">
      <c r="A7" t="s">
        <v>14</v>
      </c>
      <c r="B7" s="5">
        <v>43588</v>
      </c>
      <c r="C7" t="s">
        <v>18</v>
      </c>
      <c r="D7" s="3">
        <v>1745.6268221574344</v>
      </c>
      <c r="E7" t="s">
        <v>29</v>
      </c>
      <c r="F7" s="4">
        <v>250</v>
      </c>
      <c r="G7" t="s">
        <v>31</v>
      </c>
      <c r="H7" s="4" t="s">
        <v>30</v>
      </c>
      <c r="I7" s="5">
        <v>43595</v>
      </c>
      <c r="J7" s="4" t="s">
        <v>24</v>
      </c>
      <c r="K7" s="4" t="s">
        <v>28</v>
      </c>
      <c r="L7" s="5">
        <v>43598</v>
      </c>
      <c r="M7" s="4" t="s">
        <v>25</v>
      </c>
    </row>
    <row r="8" spans="1:13" x14ac:dyDescent="0.25">
      <c r="A8" t="s">
        <v>14</v>
      </c>
      <c r="B8" s="5">
        <v>43605</v>
      </c>
      <c r="C8" t="s">
        <v>18</v>
      </c>
      <c r="D8" s="3">
        <v>1955.1020408163265</v>
      </c>
      <c r="E8" t="s">
        <v>29</v>
      </c>
      <c r="F8" s="4">
        <v>280</v>
      </c>
      <c r="G8" t="s">
        <v>31</v>
      </c>
      <c r="H8" s="4" t="s">
        <v>30</v>
      </c>
      <c r="I8" s="5">
        <v>43607</v>
      </c>
      <c r="J8" s="4" t="s">
        <v>24</v>
      </c>
      <c r="K8" s="4" t="s">
        <v>27</v>
      </c>
      <c r="L8" s="5">
        <v>43610</v>
      </c>
      <c r="M8" s="4" t="s">
        <v>24</v>
      </c>
    </row>
    <row r="9" spans="1:13" x14ac:dyDescent="0.25">
      <c r="A9" t="s">
        <v>14</v>
      </c>
      <c r="B9" s="5">
        <v>43663</v>
      </c>
      <c r="C9" t="s">
        <v>18</v>
      </c>
      <c r="D9" s="3">
        <v>1326.6763848396502</v>
      </c>
      <c r="E9" t="s">
        <v>29</v>
      </c>
      <c r="F9" s="4">
        <v>190</v>
      </c>
      <c r="G9" t="s">
        <v>31</v>
      </c>
      <c r="H9" s="4" t="s">
        <v>30</v>
      </c>
      <c r="I9" s="5">
        <v>43666</v>
      </c>
      <c r="J9" s="4" t="s">
        <v>24</v>
      </c>
      <c r="K9" s="4" t="s">
        <v>27</v>
      </c>
      <c r="L9" s="5">
        <v>43669</v>
      </c>
      <c r="M9" s="4" t="s">
        <v>24</v>
      </c>
    </row>
    <row r="10" spans="1:13" x14ac:dyDescent="0.25">
      <c r="A10" t="s">
        <v>16</v>
      </c>
      <c r="B10" s="5">
        <v>43714</v>
      </c>
      <c r="C10" t="s">
        <v>18</v>
      </c>
      <c r="D10" s="3">
        <v>1800</v>
      </c>
      <c r="E10" t="s">
        <v>35</v>
      </c>
      <c r="F10" s="4">
        <v>430</v>
      </c>
      <c r="G10" t="s">
        <v>36</v>
      </c>
      <c r="H10" s="4" t="s">
        <v>27</v>
      </c>
      <c r="I10" s="5">
        <v>43715</v>
      </c>
      <c r="J10" s="4" t="s">
        <v>24</v>
      </c>
      <c r="K10" s="4" t="s">
        <v>27</v>
      </c>
      <c r="L10" s="5">
        <v>43715</v>
      </c>
      <c r="M10" s="4" t="s">
        <v>24</v>
      </c>
    </row>
    <row r="11" spans="1:13" x14ac:dyDescent="0.25">
      <c r="A11" t="s">
        <v>16</v>
      </c>
      <c r="B11" s="5">
        <v>43753</v>
      </c>
      <c r="C11" t="s">
        <v>18</v>
      </c>
      <c r="D11" s="3">
        <v>1883.7209302325582</v>
      </c>
      <c r="E11" t="s">
        <v>35</v>
      </c>
      <c r="F11" s="4">
        <v>450</v>
      </c>
      <c r="G11" t="s">
        <v>36</v>
      </c>
      <c r="H11" s="4" t="s">
        <v>27</v>
      </c>
      <c r="I11" s="5">
        <v>43754</v>
      </c>
      <c r="J11" s="4" t="s">
        <v>24</v>
      </c>
      <c r="K11" s="4" t="s">
        <v>27</v>
      </c>
      <c r="L11" s="5">
        <v>43754</v>
      </c>
      <c r="M11" s="4" t="s">
        <v>24</v>
      </c>
    </row>
    <row r="12" spans="1:13" x14ac:dyDescent="0.25">
      <c r="A12" t="s">
        <v>16</v>
      </c>
      <c r="B12" s="5">
        <v>43819</v>
      </c>
      <c r="C12" t="s">
        <v>19</v>
      </c>
      <c r="D12" s="3">
        <v>1632.5581395348838</v>
      </c>
      <c r="E12" t="s">
        <v>35</v>
      </c>
      <c r="F12" s="4">
        <v>390</v>
      </c>
      <c r="G12" t="s">
        <v>36</v>
      </c>
      <c r="H12" s="4" t="s">
        <v>27</v>
      </c>
      <c r="I12" s="5">
        <v>43821</v>
      </c>
      <c r="J12" s="4" t="s">
        <v>26</v>
      </c>
      <c r="K12" s="4" t="s">
        <v>27</v>
      </c>
      <c r="L12" s="5">
        <v>43821</v>
      </c>
      <c r="M12" s="4" t="s">
        <v>26</v>
      </c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Bianca</cp:lastModifiedBy>
  <dcterms:created xsi:type="dcterms:W3CDTF">2020-01-28T18:38:11Z</dcterms:created>
  <dcterms:modified xsi:type="dcterms:W3CDTF">2020-10-21T14:31:39Z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